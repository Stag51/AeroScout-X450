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" sheetId="1" state="visible" r:id="rId3"/>
    <sheet name="Summary &amp; Sim" sheetId="2" state="visible" r:id="rId4"/>
    <sheet name="Frame Calc" sheetId="3" state="visible" r:id="rId5"/>
    <sheet name="Buy Also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<sst xmlns="http://schemas.openxmlformats.org/spreadsheetml/2006/main" count="253" uniqueCount="201">
  <si>
    <t xml:space="preserve">AeroScout X450 - Bill of Materials (parts modelled in SolidWorks)</t>
  </si>
  <si>
    <t xml:space="preserve">Blue = typed-in value (change it if you weigh the real part). Green = pulled from another sheet. Yellow rows = verify before buying.</t>
  </si>
  <si>
    <t xml:space="preserve">#</t>
  </si>
  <si>
    <t xml:space="preserve">CAD file (parts folder)</t>
  </si>
  <si>
    <t xml:space="preserve">Part</t>
  </si>
  <si>
    <t xml:space="preserve">Real part to buy / spec</t>
  </si>
  <si>
    <t xml:space="preserve">Qty</t>
  </si>
  <si>
    <t xml:space="preserve">Dimensions (mm)</t>
  </si>
  <si>
    <t xml:space="preserve">Unit mass (g)</t>
  </si>
  <si>
    <t xml:space="preserve">Total mass (g)</t>
  </si>
  <si>
    <t xml:space="preserve">Mass source</t>
  </si>
  <si>
    <t xml:space="preserve">Status</t>
  </si>
  <si>
    <t xml:space="preserve">Notes</t>
  </si>
  <si>
    <t xml:space="preserve">bottom_plate.SLDPRT</t>
  </si>
  <si>
    <t xml:space="preserve">Bottom plate</t>
  </si>
  <si>
    <t xml:space="preserve">Custom 3 mm carbon fibre sheet, CNC cut to the CAD drawing (110 x 110, 10 mm corners)</t>
  </si>
  <si>
    <t xml:space="preserve">110 x 110 x 3</t>
  </si>
  <si>
    <t xml:space="preserve">Computed (Frame Calc)</t>
  </si>
  <si>
    <t xml:space="preserve">OK</t>
  </si>
  <si>
    <t xml:space="preserve">Holes: flight-controller, arm, standoff and battery-post patterns.</t>
  </si>
  <si>
    <t xml:space="preserve">arm.SLDPRT</t>
  </si>
  <si>
    <t xml:space="preserve">Arm</t>
  </si>
  <si>
    <t xml:space="preserve">Custom 4 mm carbon fibre sheet, CNC cut (200 x 30, rounded ends)</t>
  </si>
  <si>
    <t xml:space="preserve">200 x 30 x 4</t>
  </si>
  <si>
    <t xml:space="preserve">Holes for motor, 2 plate bolts and the landing-leg screw.</t>
  </si>
  <si>
    <t xml:space="preserve">clamp_plate.SLDPRT</t>
  </si>
  <si>
    <t xml:space="preserve">Clamp plate</t>
  </si>
  <si>
    <t xml:space="preserve">Custom 3 mm carbon fibre sheet, CNC cut</t>
  </si>
  <si>
    <t xml:space="preserve">Clamps the arms onto the bottom plate.</t>
  </si>
  <si>
    <t xml:space="preserve">top_plate.SLDPRT</t>
  </si>
  <si>
    <t xml:space="preserve">Top plate</t>
  </si>
  <si>
    <t xml:space="preserve">Carries the Jetson.</t>
  </si>
  <si>
    <t xml:space="preserve">standoff.SLDPRT</t>
  </si>
  <si>
    <t xml:space="preserve">Standoff 30 mm</t>
  </si>
  <si>
    <t xml:space="preserve">M3 round spacer, 30 mm long, 7 mm OD</t>
  </si>
  <si>
    <t xml:space="preserve">OD 7 x ID 3.2 x 30</t>
  </si>
  <si>
    <t xml:space="preserve">Clamp plate to top plate.</t>
  </si>
  <si>
    <t xml:space="preserve">post_35.SLDPRT</t>
  </si>
  <si>
    <t xml:space="preserve">Battery tray post 32 mm</t>
  </si>
  <si>
    <t xml:space="preserve">M3 spacer 32 mm (or 30 mm spacer + washers)</t>
  </si>
  <si>
    <t xml:space="preserve">OD 7 x ID 3.2 x 32</t>
  </si>
  <si>
    <t xml:space="preserve">VERIFY</t>
  </si>
  <si>
    <t xml:space="preserve">File is still named post_35 but is 32 mm long. 32 mm spacers are less common; check the shop.</t>
  </si>
  <si>
    <t xml:space="preserve">battery_tray.SLDPRT</t>
  </si>
  <si>
    <t xml:space="preserve">Battery tray</t>
  </si>
  <si>
    <t xml:space="preserve">150 x 90 x 3</t>
  </si>
  <si>
    <t xml:space="preserve">Hangs under the bottom plate on the posts.</t>
  </si>
  <si>
    <t xml:space="preserve">motor_2212_920kv.SLDPRT</t>
  </si>
  <si>
    <t xml:space="preserve">Motor</t>
  </si>
  <si>
    <t xml:space="preserve">2212 920KV brushless motor (cross pattern M3 mount, 16 x 19 mm)</t>
  </si>
  <si>
    <t xml:space="preserve">dia 27.7 x 30</t>
  </si>
  <si>
    <t xml:space="preserve">CAD override (typical)</t>
  </si>
  <si>
    <t xml:space="preserve">Real mass varies by brand (roughly 50-60 g). Check the datasheet of the motor you buy. Spin direction: 2 CW, 2 CCW.</t>
  </si>
  <si>
    <t xml:space="preserve">propeller_1045.SLDPRT</t>
  </si>
  <si>
    <t xml:space="preserve">Propeller</t>
  </si>
  <si>
    <t xml:space="preserve">10 x 4.5 inch, 2 blade, 6 mm centre hole (2 CW + 2 CCW pairs)</t>
  </si>
  <si>
    <t xml:space="preserve">254 dia, 4.5 in pitch</t>
  </si>
  <si>
    <t xml:space="preserve">CAD override</t>
  </si>
  <si>
    <t xml:space="preserve">A vendor page lists about 12 g per prop. CAD uses 13 g (4 g total difference). The hub needs an adapter that fits your motor shaft.</t>
  </si>
  <si>
    <t xml:space="preserve">battery_tattu_4s5200.SLDPRT</t>
  </si>
  <si>
    <t xml:space="preserve">Battery</t>
  </si>
  <si>
    <t xml:space="preserve">Tattu 4S 5200 mAh LiPo (or equivalent 134 x 44 x 32 mm pack)</t>
  </si>
  <si>
    <t xml:space="preserve">134 x 44 x 32</t>
  </si>
  <si>
    <t xml:space="preserve">CAD override (earlier web check)</t>
  </si>
  <si>
    <t xml:space="preserve">Always check the exact pack you buy; sizes vary between brands.</t>
  </si>
  <si>
    <t xml:space="preserve">esc_speedybee_55a.SLDPRT</t>
  </si>
  <si>
    <t xml:space="preserve">ESC</t>
  </si>
  <si>
    <t xml:space="preserve">SpeedyBee 55A 4-in-1 ESC, 30.5 x 30.5 mm hole pattern</t>
  </si>
  <si>
    <t xml:space="preserve">45.6 x 44 x 8</t>
  </si>
  <si>
    <t xml:space="preserve">4 holes at +/-15.25 mm.</t>
  </si>
  <si>
    <t xml:space="preserve">pixhawk_6c_mini.SLDPRT</t>
  </si>
  <si>
    <t xml:space="preserve">Flight controller</t>
  </si>
  <si>
    <t xml:space="preserve">Holybro Pixhawk 6C Mini</t>
  </si>
  <si>
    <t xml:space="preserve">53.3 x 39 x 16.2</t>
  </si>
  <si>
    <t xml:space="preserve">Mounting-hole pattern not confirmed. Check Holybro's drawing before drilling holes in the plate.</t>
  </si>
  <si>
    <t xml:space="preserve">jetson_orin_nano_devkit.SLDPRT</t>
  </si>
  <si>
    <t xml:space="preserve">Companion computer</t>
  </si>
  <si>
    <t xml:space="preserve">NVIDIA Jetson Orin Nano Developer Kit</t>
  </si>
  <si>
    <t xml:space="preserve">CAD block 100 x 79 x 21</t>
  </si>
  <si>
    <t xml:space="preserve">CAD override (kit weighs 0.175 kg per NVIDIA spec)</t>
  </si>
  <si>
    <t xml:space="preserve">NVIDIA lists the carrier board as 100 x 79 mm and a kit envelope of 103 x 90.5 x 34.77 mm. Hole pattern not confirmed, so the CAD block has no holes. Confirm from NVIDIA's mechanical drawing.</t>
  </si>
  <si>
    <t xml:space="preserve">camera_imx219.SLDPRT</t>
  </si>
  <si>
    <t xml:space="preserve">Camera</t>
  </si>
  <si>
    <t xml:space="preserve">Raspberry Pi Camera Module 2 style (Sony IMX219) board</t>
  </si>
  <si>
    <t xml:space="preserve">25 x 24 x 9</t>
  </si>
  <si>
    <t xml:space="preserve">CAD override (approximate)</t>
  </si>
  <si>
    <t xml:space="preserve">Size and mass are approximate and not checked against a datasheet. Verify against the exact camera you buy.</t>
  </si>
  <si>
    <t xml:space="preserve">camera_mount.SLDPRT</t>
  </si>
  <si>
    <t xml:space="preserve">Camera mount</t>
  </si>
  <si>
    <t xml:space="preserve">3D printed ABS or PETG, slips over the front standoff</t>
  </si>
  <si>
    <t xml:space="preserve">collar dia 14, wall 9 x 30 x 25</t>
  </si>
  <si>
    <t xml:space="preserve">Print file can be exported from SolidWorks as STL.</t>
  </si>
  <si>
    <t xml:space="preserve">landing_leg.SLDPRT</t>
  </si>
  <si>
    <t xml:space="preserve">Landing leg</t>
  </si>
  <si>
    <t xml:space="preserve">Carbon tube OD 10 (or printed), 90 mm, with a screw channel</t>
  </si>
  <si>
    <t xml:space="preserve">OD 10 x 90</t>
  </si>
  <si>
    <t xml:space="preserve">A bought tube is probably hollow and lighter. Weigh it when you buy. Screw into the arm hole 120 mm from centre.</t>
  </si>
  <si>
    <t xml:space="preserve">TOTAL of modelled parts</t>
  </si>
  <si>
    <t xml:space="preserve">Mass summary and simulation inputs</t>
  </si>
  <si>
    <t xml:space="preserve">Blue = values read from SolidWorks (Evaluate &gt; Mass Properties on drone_assembly). Black = calculated.</t>
  </si>
  <si>
    <t xml:space="preserve">Mass check</t>
  </si>
  <si>
    <t xml:space="preserve">Value</t>
  </si>
  <si>
    <t xml:space="preserve">Unit</t>
  </si>
  <si>
    <t xml:space="preserve">Comment</t>
  </si>
  <si>
    <t xml:space="preserve">Total of modelled parts (BOM sheet)</t>
  </si>
  <si>
    <t xml:space="preserve">g</t>
  </si>
  <si>
    <t xml:space="preserve">Sum of qty x unit mass on the BOM sheet.</t>
  </si>
  <si>
    <t xml:space="preserve">SolidWorks total mass</t>
  </si>
  <si>
    <t xml:space="preserve">From the Mass Properties window.</t>
  </si>
  <si>
    <t xml:space="preserve">Difference (BOM - SolidWorks)</t>
  </si>
  <si>
    <t xml:space="preserve">Small difference is expected, since the plates, arms, tray and legs here are estimates.</t>
  </si>
  <si>
    <t xml:space="preserve">Difference as percent</t>
  </si>
  <si>
    <t xml:space="preserve">%</t>
  </si>
  <si>
    <t xml:space="preserve">Under about 2 percent is fine for simulation.</t>
  </si>
  <si>
    <t xml:space="preserve">Extras not in CAD (Buy Also sheet)</t>
  </si>
  <si>
    <t xml:space="preserve">Wiring, GPS, receiver, hardware.</t>
  </si>
  <si>
    <t xml:space="preserve">Estimated real take-off mass</t>
  </si>
  <si>
    <t xml:space="preserve">Use this for the simulation mass if you want a realistic build.</t>
  </si>
  <si>
    <t xml:space="preserve">kg</t>
  </si>
  <si>
    <t xml:space="preserve">Centre of mass (SolidWorks axes)</t>
  </si>
  <si>
    <t xml:space="preserve">X (forward)</t>
  </si>
  <si>
    <t xml:space="preserve">mm</t>
  </si>
  <si>
    <t xml:space="preserve">Almost exactly centred front to back.</t>
  </si>
  <si>
    <t xml:space="preserve">Y (vertical)</t>
  </si>
  <si>
    <t xml:space="preserve">Height above the underside of the bottom plate (assembly origin).</t>
  </si>
  <si>
    <t xml:space="preserve">Z (sideways)</t>
  </si>
  <si>
    <t xml:space="preserve">Centred left to right.</t>
  </si>
  <si>
    <t xml:space="preserve">Inertia at centre of mass</t>
  </si>
  <si>
    <t xml:space="preserve">SolidWorks (g*mm2)</t>
  </si>
  <si>
    <t xml:space="preserve">kg*m2</t>
  </si>
  <si>
    <t xml:space="preserve">Goes into the ROS / Gazebo file as</t>
  </si>
  <si>
    <t xml:space="preserve">Lxx (about forward axis)</t>
  </si>
  <si>
    <t xml:space="preserve">ixx</t>
  </si>
  <si>
    <t xml:space="preserve">Lzz (about sideways axis)</t>
  </si>
  <si>
    <t xml:space="preserve">iyy</t>
  </si>
  <si>
    <t xml:space="preserve">Lyy (about vertical axis)</t>
  </si>
  <si>
    <t xml:space="preserve">izz</t>
  </si>
  <si>
    <t xml:space="preserve">Axis note: SolidWorks uses Y as up, ROS/Gazebo use Z as up. So the vertical SolidWorks inertia (Lyy) becomes izz, and SolidWorks Lzz becomes iyy. Conversion: 1 g*mm2 = 1e-9 kg*m2. These numbers are for the CAD mass, not the estimated real mass.</t>
  </si>
  <si>
    <t xml:space="preserve">Frame part masses computed from CAD dimensions</t>
  </si>
  <si>
    <t xml:space="preserve">Used for parts whose mass was NOT typed in as an override (plates, arms, standoffs, tray, legs, camera mount). Volumes are approximate (+/- a few grams in total).</t>
  </si>
  <si>
    <t xml:space="preserve">Material</t>
  </si>
  <si>
    <t xml:space="preserve">Density (g/mm3)</t>
  </si>
  <si>
    <t xml:space="preserve">Source</t>
  </si>
  <si>
    <t xml:space="preserve">Carbon Fiber Plate</t>
  </si>
  <si>
    <t xml:space="preserve">Custom SolidWorks material: 1600 kg/m3 (user-entered)</t>
  </si>
  <si>
    <t xml:space="preserve">ABS</t>
  </si>
  <si>
    <t xml:space="preserve">SolidWorks library ABS: 1020 kg/m3</t>
  </si>
  <si>
    <t xml:space="preserve">Volume (mm3)</t>
  </si>
  <si>
    <t xml:space="preserve">Mass (g)</t>
  </si>
  <si>
    <t xml:space="preserve">How the volume was computed</t>
  </si>
  <si>
    <t xml:space="preserve">bottom_plate</t>
  </si>
  <si>
    <t xml:space="preserve">110x110x3 plate, 10 mm corner fillets, 20 holes of r1.6</t>
  </si>
  <si>
    <t xml:space="preserve">clamp_plate</t>
  </si>
  <si>
    <t xml:space="preserve">Same outline, 20 mm centre hole, about 16 small holes (approximate hole count)</t>
  </si>
  <si>
    <t xml:space="preserve">top_plate</t>
  </si>
  <si>
    <t xml:space="preserve">Same as clamp_plate</t>
  </si>
  <si>
    <t xml:space="preserve">arm (one)</t>
  </si>
  <si>
    <t xml:space="preserve">Slot 200x30x4 minus motor hole r5, 4 motor screw holes r1.5, 2 plate bolt holes r1.6, 1 leg hole r2.1</t>
  </si>
  <si>
    <t xml:space="preserve">standoff 30 mm (one)</t>
  </si>
  <si>
    <t xml:space="preserve">Tube OD7, ID3.2, length 30</t>
  </si>
  <si>
    <t xml:space="preserve">post 32 mm (one)</t>
  </si>
  <si>
    <t xml:space="preserve">Tube OD7, ID3.2, length 32</t>
  </si>
  <si>
    <t xml:space="preserve">battery_tray</t>
  </si>
  <si>
    <t xml:space="preserve">150x90x3 with 4 holes r1.6</t>
  </si>
  <si>
    <t xml:space="preserve">landing_leg (one)</t>
  </si>
  <si>
    <t xml:space="preserve">Tube OD10, hole d4.2, length 90</t>
  </si>
  <si>
    <t xml:space="preserve">camera_mount</t>
  </si>
  <si>
    <t xml:space="preserve">Collar r7 + wall 9x30 (minus overlap) minus bore r3.6, height 25</t>
  </si>
  <si>
    <t xml:space="preserve">Parts you still need for a real build (not modelled in CAD)</t>
  </si>
  <si>
    <t xml:space="preserve">Masses are typical estimates, not measured. Weigh the parts when you buy them. Blue = typed in.</t>
  </si>
  <si>
    <t xml:space="preserve">Item</t>
  </si>
  <si>
    <t xml:space="preserve">Why it is needed</t>
  </si>
  <si>
    <t xml:space="preserve">Est. unit mass (g)</t>
  </si>
  <si>
    <t xml:space="preserve">Est. total (g)</t>
  </si>
  <si>
    <t xml:space="preserve">Power module / power distribution board</t>
  </si>
  <si>
    <t xml:space="preserve">Powers the ESC and Pixhawk from the battery and reports voltage and current</t>
  </si>
  <si>
    <t xml:space="preserve">Match it to the 4S battery and the Pixhawk 6C Mini connector.</t>
  </si>
  <si>
    <t xml:space="preserve">GPS + compass module</t>
  </si>
  <si>
    <t xml:space="preserve">Position hold, return-to-home, mission flying</t>
  </si>
  <si>
    <t xml:space="preserve">Needed for PX4 outdoor modes.</t>
  </si>
  <si>
    <t xml:space="preserve">RC receiver + transmitter</t>
  </si>
  <si>
    <t xml:space="preserve">Manual control and a safety override</t>
  </si>
  <si>
    <t xml:space="preserve">Transmitter is not mounted on the drone. Pick a receiver that PX4 supports.</t>
  </si>
  <si>
    <t xml:space="preserve">Jetson power supply cable</t>
  </si>
  <si>
    <t xml:space="preserve">Powers the Jetson from the battery (check NVIDIA's input voltage range)</t>
  </si>
  <si>
    <t xml:space="preserve">Do not connect the 4S battery straight to the Jetson without checking the voltage range and adding the right regulator.</t>
  </si>
  <si>
    <t xml:space="preserve">UART / USB-serial cable (Jetson to Pixhawk TELEM2)</t>
  </si>
  <si>
    <t xml:space="preserve">Link between ROS 2 and PX4</t>
  </si>
  <si>
    <t xml:space="preserve">Used with the Micro XRCE-DDS agent.</t>
  </si>
  <si>
    <t xml:space="preserve">microSD card or NVMe SSD (64 GB or larger)</t>
  </si>
  <si>
    <t xml:space="preserve">Jetson storage</t>
  </si>
  <si>
    <t xml:space="preserve">The dev kit has no built-in storage.</t>
  </si>
  <si>
    <t xml:space="preserve">M3 screws, nuts, washers</t>
  </si>
  <si>
    <t xml:space="preserve">Frame assembly</t>
  </si>
  <si>
    <t xml:space="preserve">Assorted M3 set; buy extra.</t>
  </si>
  <si>
    <t xml:space="preserve">Motor and battery connectors, XT60, wires, heat shrink</t>
  </si>
  <si>
    <t xml:space="preserve">Wiring</t>
  </si>
  <si>
    <t xml:space="preserve">Rough estimate.</t>
  </si>
  <si>
    <t xml:space="preserve">Battery strap + foam</t>
  </si>
  <si>
    <t xml:space="preserve">Holds the battery on the tray</t>
  </si>
  <si>
    <t xml:space="preserve">TOTAL extras (g)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</si>
</sst>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"/>
    <numFmt numFmtId="166" formatCode="0.0%"/>
    <numFmt numFmtId="167" formatCode="0.000"/>
    <numFmt numFmtId="168" formatCode="0.00"/>
    <numFmt numFmtId="169" formatCode="#,##0.00"/>
    <numFmt numFmtId="170" formatCode="0.00000"/>
    <numFmt numFmtId="171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D9E1F2"/>
      </patternFill>
    </fill>
    <fill>
      <patternFill patternType="solid">
        <fgColor rgb="FFFFF2CC"/>
        <bgColor rgb="FFE2EFDA"/>
      </patternFill>
    </fill>
    <fill>
      <patternFill patternType="solid">
        <fgColor rgb="FFD9E1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20"/>
    <col collapsed="false" customWidth="true" hidden="false" outlineLevel="0" max="4" min="4" style="0" width="46"/>
    <col collapsed="false" customWidth="true" hidden="false" outlineLevel="0" max="5" min="5" style="0" width="6"/>
    <col collapsed="false" customWidth="true" hidden="false" outlineLevel="0" max="6" min="6" style="0" width="22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28"/>
    <col collapsed="false" customWidth="true" hidden="false" outlineLevel="0" max="10" min="10" style="0" width="9"/>
    <col collapsed="false" customWidth="true" hidden="false" outlineLevel="0" max="11" min="11" style="0" width="6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23.85" hidden="false" customHeight="false" outlineLevel="0" collapsed="false">
      <c r="A5" s="4" t="n">
        <v>1</v>
      </c>
      <c r="B5" s="5" t="s">
        <v>13</v>
      </c>
      <c r="C5" s="5" t="s">
        <v>14</v>
      </c>
      <c r="D5" s="5" t="s">
        <v>15</v>
      </c>
      <c r="E5" s="6" t="n">
        <v>1</v>
      </c>
      <c r="F5" s="5" t="s">
        <v>16</v>
      </c>
      <c r="G5" s="7" t="n">
        <f aca="false">'Frame Calc'!D9</f>
        <v>56.8958866631769</v>
      </c>
      <c r="H5" s="8" t="n">
        <f aca="false">E5*G5</f>
        <v>56.8958866631769</v>
      </c>
      <c r="I5" s="5" t="s">
        <v>17</v>
      </c>
      <c r="J5" s="9" t="s">
        <v>18</v>
      </c>
      <c r="K5" s="5" t="s">
        <v>19</v>
      </c>
    </row>
    <row r="6" customFormat="false" ht="23.85" hidden="false" customHeight="false" outlineLevel="0" collapsed="false">
      <c r="A6" s="4" t="n">
        <v>2</v>
      </c>
      <c r="B6" s="5" t="s">
        <v>20</v>
      </c>
      <c r="C6" s="5" t="s">
        <v>21</v>
      </c>
      <c r="D6" s="5" t="s">
        <v>22</v>
      </c>
      <c r="E6" s="6" t="n">
        <v>4</v>
      </c>
      <c r="F6" s="5" t="s">
        <v>23</v>
      </c>
      <c r="G6" s="7" t="n">
        <f aca="false">'Frame Calc'!D12</f>
        <v>36.2886708406204</v>
      </c>
      <c r="H6" s="8" t="n">
        <f aca="false">E6*G6</f>
        <v>145.154683362482</v>
      </c>
      <c r="I6" s="5" t="s">
        <v>17</v>
      </c>
      <c r="J6" s="9" t="s">
        <v>18</v>
      </c>
      <c r="K6" s="5" t="s">
        <v>24</v>
      </c>
    </row>
    <row r="7" customFormat="false" ht="15" hidden="false" customHeight="false" outlineLevel="0" collapsed="false">
      <c r="A7" s="4" t="n">
        <v>3</v>
      </c>
      <c r="B7" s="5" t="s">
        <v>25</v>
      </c>
      <c r="C7" s="5" t="s">
        <v>26</v>
      </c>
      <c r="D7" s="5" t="s">
        <v>27</v>
      </c>
      <c r="E7" s="6" t="n">
        <v>1</v>
      </c>
      <c r="F7" s="5" t="s">
        <v>16</v>
      </c>
      <c r="G7" s="7" t="n">
        <f aca="false">'Frame Calc'!D10</f>
        <v>55.542337751563</v>
      </c>
      <c r="H7" s="8" t="n">
        <f aca="false">E7*G7</f>
        <v>55.542337751563</v>
      </c>
      <c r="I7" s="5" t="s">
        <v>17</v>
      </c>
      <c r="J7" s="9" t="s">
        <v>18</v>
      </c>
      <c r="K7" s="5" t="s">
        <v>28</v>
      </c>
    </row>
    <row r="8" customFormat="false" ht="15" hidden="false" customHeight="false" outlineLevel="0" collapsed="false">
      <c r="A8" s="4" t="n">
        <v>4</v>
      </c>
      <c r="B8" s="5" t="s">
        <v>29</v>
      </c>
      <c r="C8" s="5" t="s">
        <v>30</v>
      </c>
      <c r="D8" s="5" t="s">
        <v>27</v>
      </c>
      <c r="E8" s="6" t="n">
        <v>1</v>
      </c>
      <c r="F8" s="5" t="s">
        <v>16</v>
      </c>
      <c r="G8" s="7" t="n">
        <f aca="false">'Frame Calc'!D11</f>
        <v>55.542337751563</v>
      </c>
      <c r="H8" s="8" t="n">
        <f aca="false">E8*G8</f>
        <v>55.542337751563</v>
      </c>
      <c r="I8" s="5" t="s">
        <v>17</v>
      </c>
      <c r="J8" s="9" t="s">
        <v>18</v>
      </c>
      <c r="K8" s="5" t="s">
        <v>31</v>
      </c>
    </row>
    <row r="9" customFormat="false" ht="15" hidden="false" customHeight="false" outlineLevel="0" collapsed="false">
      <c r="A9" s="4" t="n">
        <v>5</v>
      </c>
      <c r="B9" s="5" t="s">
        <v>32</v>
      </c>
      <c r="C9" s="5" t="s">
        <v>33</v>
      </c>
      <c r="D9" s="5" t="s">
        <v>34</v>
      </c>
      <c r="E9" s="6" t="n">
        <v>4</v>
      </c>
      <c r="F9" s="5" t="s">
        <v>35</v>
      </c>
      <c r="G9" s="7" t="n">
        <f aca="false">'Frame Calc'!D13</f>
        <v>0.931526204086524</v>
      </c>
      <c r="H9" s="8" t="n">
        <f aca="false">E9*G9</f>
        <v>3.7261048163461</v>
      </c>
      <c r="I9" s="5" t="s">
        <v>17</v>
      </c>
      <c r="J9" s="9" t="s">
        <v>18</v>
      </c>
      <c r="K9" s="5" t="s">
        <v>36</v>
      </c>
    </row>
    <row r="10" customFormat="false" ht="23.85" hidden="false" customHeight="false" outlineLevel="0" collapsed="false">
      <c r="A10" s="4" t="n">
        <v>6</v>
      </c>
      <c r="B10" s="5" t="s">
        <v>37</v>
      </c>
      <c r="C10" s="5" t="s">
        <v>38</v>
      </c>
      <c r="D10" s="5" t="s">
        <v>39</v>
      </c>
      <c r="E10" s="6" t="n">
        <v>4</v>
      </c>
      <c r="F10" s="5" t="s">
        <v>40</v>
      </c>
      <c r="G10" s="7" t="n">
        <f aca="false">'Frame Calc'!D14</f>
        <v>0.993627951025626</v>
      </c>
      <c r="H10" s="8" t="n">
        <f aca="false">E10*G10</f>
        <v>3.9745118041025</v>
      </c>
      <c r="I10" s="5" t="s">
        <v>17</v>
      </c>
      <c r="J10" s="10" t="s">
        <v>41</v>
      </c>
      <c r="K10" s="5" t="s">
        <v>42</v>
      </c>
    </row>
    <row r="11" customFormat="false" ht="15" hidden="false" customHeight="false" outlineLevel="0" collapsed="false">
      <c r="A11" s="4" t="n">
        <v>7</v>
      </c>
      <c r="B11" s="5" t="s">
        <v>43</v>
      </c>
      <c r="C11" s="5" t="s">
        <v>44</v>
      </c>
      <c r="D11" s="5" t="s">
        <v>27</v>
      </c>
      <c r="E11" s="6" t="n">
        <v>1</v>
      </c>
      <c r="F11" s="5" t="s">
        <v>45</v>
      </c>
      <c r="G11" s="7" t="n">
        <f aca="false">'Frame Calc'!D15</f>
        <v>64.6455844378908</v>
      </c>
      <c r="H11" s="8" t="n">
        <f aca="false">E11*G11</f>
        <v>64.6455844378908</v>
      </c>
      <c r="I11" s="5" t="s">
        <v>17</v>
      </c>
      <c r="J11" s="9" t="s">
        <v>18</v>
      </c>
      <c r="K11" s="5" t="s">
        <v>46</v>
      </c>
    </row>
    <row r="12" customFormat="false" ht="23.85" hidden="false" customHeight="false" outlineLevel="0" collapsed="false">
      <c r="A12" s="4" t="n">
        <v>8</v>
      </c>
      <c r="B12" s="5" t="s">
        <v>47</v>
      </c>
      <c r="C12" s="5" t="s">
        <v>48</v>
      </c>
      <c r="D12" s="5" t="s">
        <v>49</v>
      </c>
      <c r="E12" s="6" t="n">
        <v>4</v>
      </c>
      <c r="F12" s="5" t="s">
        <v>50</v>
      </c>
      <c r="G12" s="11" t="n">
        <v>52</v>
      </c>
      <c r="H12" s="8" t="n">
        <f aca="false">E12*G12</f>
        <v>208</v>
      </c>
      <c r="I12" s="5" t="s">
        <v>51</v>
      </c>
      <c r="J12" s="10" t="s">
        <v>41</v>
      </c>
      <c r="K12" s="5" t="s">
        <v>52</v>
      </c>
    </row>
    <row r="13" customFormat="false" ht="23.85" hidden="false" customHeight="false" outlineLevel="0" collapsed="false">
      <c r="A13" s="4" t="n">
        <v>9</v>
      </c>
      <c r="B13" s="5" t="s">
        <v>53</v>
      </c>
      <c r="C13" s="5" t="s">
        <v>54</v>
      </c>
      <c r="D13" s="5" t="s">
        <v>55</v>
      </c>
      <c r="E13" s="6" t="n">
        <v>4</v>
      </c>
      <c r="F13" s="5" t="s">
        <v>56</v>
      </c>
      <c r="G13" s="11" t="n">
        <v>13</v>
      </c>
      <c r="H13" s="8" t="n">
        <f aca="false">E13*G13</f>
        <v>52</v>
      </c>
      <c r="I13" s="5" t="s">
        <v>57</v>
      </c>
      <c r="J13" s="10" t="s">
        <v>41</v>
      </c>
      <c r="K13" s="5" t="s">
        <v>58</v>
      </c>
    </row>
    <row r="14" customFormat="false" ht="23.85" hidden="false" customHeight="false" outlineLevel="0" collapsed="false">
      <c r="A14" s="4" t="n">
        <v>10</v>
      </c>
      <c r="B14" s="5" t="s">
        <v>59</v>
      </c>
      <c r="C14" s="5" t="s">
        <v>60</v>
      </c>
      <c r="D14" s="5" t="s">
        <v>61</v>
      </c>
      <c r="E14" s="6" t="n">
        <v>1</v>
      </c>
      <c r="F14" s="5" t="s">
        <v>62</v>
      </c>
      <c r="G14" s="11" t="n">
        <v>430</v>
      </c>
      <c r="H14" s="8" t="n">
        <f aca="false">E14*G14</f>
        <v>430</v>
      </c>
      <c r="I14" s="5" t="s">
        <v>63</v>
      </c>
      <c r="J14" s="9" t="s">
        <v>18</v>
      </c>
      <c r="K14" s="5" t="s">
        <v>64</v>
      </c>
    </row>
    <row r="15" customFormat="false" ht="23.85" hidden="false" customHeight="false" outlineLevel="0" collapsed="false">
      <c r="A15" s="4" t="n">
        <v>11</v>
      </c>
      <c r="B15" s="5" t="s">
        <v>65</v>
      </c>
      <c r="C15" s="5" t="s">
        <v>66</v>
      </c>
      <c r="D15" s="5" t="s">
        <v>67</v>
      </c>
      <c r="E15" s="6" t="n">
        <v>1</v>
      </c>
      <c r="F15" s="5" t="s">
        <v>68</v>
      </c>
      <c r="G15" s="11" t="n">
        <v>23.5</v>
      </c>
      <c r="H15" s="8" t="n">
        <f aca="false">E15*G15</f>
        <v>23.5</v>
      </c>
      <c r="I15" s="5" t="s">
        <v>57</v>
      </c>
      <c r="J15" s="9" t="s">
        <v>18</v>
      </c>
      <c r="K15" s="5" t="s">
        <v>69</v>
      </c>
    </row>
    <row r="16" customFormat="false" ht="23.85" hidden="false" customHeight="false" outlineLevel="0" collapsed="false">
      <c r="A16" s="4" t="n">
        <v>12</v>
      </c>
      <c r="B16" s="5" t="s">
        <v>70</v>
      </c>
      <c r="C16" s="5" t="s">
        <v>71</v>
      </c>
      <c r="D16" s="5" t="s">
        <v>72</v>
      </c>
      <c r="E16" s="6" t="n">
        <v>1</v>
      </c>
      <c r="F16" s="5" t="s">
        <v>73</v>
      </c>
      <c r="G16" s="11" t="n">
        <v>39.2</v>
      </c>
      <c r="H16" s="8" t="n">
        <f aca="false">E16*G16</f>
        <v>39.2</v>
      </c>
      <c r="I16" s="5" t="s">
        <v>63</v>
      </c>
      <c r="J16" s="10" t="s">
        <v>41</v>
      </c>
      <c r="K16" s="5" t="s">
        <v>74</v>
      </c>
    </row>
    <row r="17" customFormat="false" ht="35.05" hidden="false" customHeight="false" outlineLevel="0" collapsed="false">
      <c r="A17" s="4" t="n">
        <v>13</v>
      </c>
      <c r="B17" s="5" t="s">
        <v>75</v>
      </c>
      <c r="C17" s="5" t="s">
        <v>76</v>
      </c>
      <c r="D17" s="5" t="s">
        <v>77</v>
      </c>
      <c r="E17" s="6" t="n">
        <v>1</v>
      </c>
      <c r="F17" s="5" t="s">
        <v>78</v>
      </c>
      <c r="G17" s="11" t="n">
        <v>174</v>
      </c>
      <c r="H17" s="8" t="n">
        <f aca="false">E17*G17</f>
        <v>174</v>
      </c>
      <c r="I17" s="5" t="s">
        <v>79</v>
      </c>
      <c r="J17" s="10" t="s">
        <v>41</v>
      </c>
      <c r="K17" s="5" t="s">
        <v>80</v>
      </c>
    </row>
    <row r="18" customFormat="false" ht="23.85" hidden="false" customHeight="false" outlineLevel="0" collapsed="false">
      <c r="A18" s="4" t="n">
        <v>14</v>
      </c>
      <c r="B18" s="5" t="s">
        <v>81</v>
      </c>
      <c r="C18" s="5" t="s">
        <v>82</v>
      </c>
      <c r="D18" s="5" t="s">
        <v>83</v>
      </c>
      <c r="E18" s="6" t="n">
        <v>1</v>
      </c>
      <c r="F18" s="5" t="s">
        <v>84</v>
      </c>
      <c r="G18" s="11" t="n">
        <v>4</v>
      </c>
      <c r="H18" s="8" t="n">
        <f aca="false">E18*G18</f>
        <v>4</v>
      </c>
      <c r="I18" s="5" t="s">
        <v>85</v>
      </c>
      <c r="J18" s="10" t="s">
        <v>41</v>
      </c>
      <c r="K18" s="5" t="s">
        <v>86</v>
      </c>
    </row>
    <row r="19" customFormat="false" ht="23.85" hidden="false" customHeight="false" outlineLevel="0" collapsed="false">
      <c r="A19" s="4" t="n">
        <v>15</v>
      </c>
      <c r="B19" s="5" t="s">
        <v>87</v>
      </c>
      <c r="C19" s="5" t="s">
        <v>88</v>
      </c>
      <c r="D19" s="5" t="s">
        <v>89</v>
      </c>
      <c r="E19" s="6" t="n">
        <v>1</v>
      </c>
      <c r="F19" s="5" t="s">
        <v>90</v>
      </c>
      <c r="G19" s="7" t="n">
        <f aca="false">'Frame Calc'!D17</f>
        <v>7.80947647017187</v>
      </c>
      <c r="H19" s="8" t="n">
        <f aca="false">E19*G19</f>
        <v>7.80947647017187</v>
      </c>
      <c r="I19" s="5" t="s">
        <v>17</v>
      </c>
      <c r="J19" s="9" t="s">
        <v>18</v>
      </c>
      <c r="K19" s="5" t="s">
        <v>91</v>
      </c>
    </row>
    <row r="20" customFormat="false" ht="23.85" hidden="false" customHeight="false" outlineLevel="0" collapsed="false">
      <c r="A20" s="4" t="n">
        <v>16</v>
      </c>
      <c r="B20" s="5" t="s">
        <v>92</v>
      </c>
      <c r="C20" s="5" t="s">
        <v>93</v>
      </c>
      <c r="D20" s="5" t="s">
        <v>94</v>
      </c>
      <c r="E20" s="6" t="n">
        <v>4</v>
      </c>
      <c r="F20" s="5" t="s">
        <v>95</v>
      </c>
      <c r="G20" s="7" t="n">
        <f aca="false">'Frame Calc'!D16</f>
        <v>9.31469655418759</v>
      </c>
      <c r="H20" s="8" t="n">
        <f aca="false">E20*G20</f>
        <v>37.2587862167504</v>
      </c>
      <c r="I20" s="5" t="s">
        <v>17</v>
      </c>
      <c r="J20" s="10" t="s">
        <v>41</v>
      </c>
      <c r="K20" s="5" t="s">
        <v>96</v>
      </c>
    </row>
    <row r="21" customFormat="false" ht="15" hidden="false" customHeight="false" outlineLevel="0" collapsed="false">
      <c r="A21" s="12"/>
      <c r="B21" s="12"/>
      <c r="C21" s="12"/>
      <c r="D21" s="12" t="s">
        <v>97</v>
      </c>
      <c r="E21" s="12" t="n">
        <f aca="false">SUM(E5:E20)</f>
        <v>34</v>
      </c>
      <c r="F21" s="12"/>
      <c r="G21" s="12"/>
      <c r="H21" s="13" t="n">
        <f aca="false">SUM(H5:H20)</f>
        <v>1361.24970927405</v>
      </c>
      <c r="I21" s="12"/>
      <c r="J21" s="12"/>
      <c r="K21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80"/>
  </cols>
  <sheetData>
    <row r="1" customFormat="false" ht="17.35" hidden="false" customHeight="false" outlineLevel="0" collapsed="false">
      <c r="A1" s="1" t="s">
        <v>98</v>
      </c>
    </row>
    <row r="2" customFormat="false" ht="15" hidden="false" customHeight="false" outlineLevel="0" collapsed="false">
      <c r="A2" s="2" t="s">
        <v>99</v>
      </c>
    </row>
    <row r="4" customFormat="false" ht="15" hidden="false" customHeight="false" outlineLevel="0" collapsed="false">
      <c r="A4" s="3" t="s">
        <v>100</v>
      </c>
      <c r="B4" s="3" t="s">
        <v>101</v>
      </c>
      <c r="C4" s="3" t="s">
        <v>102</v>
      </c>
      <c r="D4" s="3" t="s">
        <v>103</v>
      </c>
    </row>
    <row r="5" customFormat="false" ht="15" hidden="false" customHeight="false" outlineLevel="0" collapsed="false">
      <c r="A5" s="5" t="s">
        <v>104</v>
      </c>
      <c r="B5" s="7" t="n">
        <f aca="false">BOM!H21</f>
        <v>1361.24970927405</v>
      </c>
      <c r="C5" s="5" t="s">
        <v>105</v>
      </c>
      <c r="D5" s="5" t="s">
        <v>106</v>
      </c>
    </row>
    <row r="6" customFormat="false" ht="15" hidden="false" customHeight="false" outlineLevel="0" collapsed="false">
      <c r="A6" s="5" t="s">
        <v>107</v>
      </c>
      <c r="B6" s="11" t="n">
        <v>1361.15</v>
      </c>
      <c r="C6" s="5" t="s">
        <v>105</v>
      </c>
      <c r="D6" s="5" t="s">
        <v>108</v>
      </c>
    </row>
    <row r="7" customFormat="false" ht="15" hidden="false" customHeight="false" outlineLevel="0" collapsed="false">
      <c r="A7" s="5" t="s">
        <v>109</v>
      </c>
      <c r="B7" s="8" t="n">
        <f aca="false">B5-B6</f>
        <v>0.099709274046063</v>
      </c>
      <c r="C7" s="5" t="s">
        <v>105</v>
      </c>
      <c r="D7" s="5" t="s">
        <v>110</v>
      </c>
    </row>
    <row r="8" customFormat="false" ht="15" hidden="false" customHeight="false" outlineLevel="0" collapsed="false">
      <c r="A8" s="5" t="s">
        <v>111</v>
      </c>
      <c r="B8" s="14" t="n">
        <f aca="false">B7/B6</f>
        <v>7.32537002138361E-005</v>
      </c>
      <c r="C8" s="5" t="s">
        <v>112</v>
      </c>
      <c r="D8" s="5" t="s">
        <v>113</v>
      </c>
    </row>
    <row r="9" customFormat="false" ht="15" hidden="false" customHeight="false" outlineLevel="0" collapsed="false">
      <c r="A9" s="5" t="s">
        <v>114</v>
      </c>
      <c r="B9" s="7" t="n">
        <f aca="false">'Buy Also'!F14</f>
        <v>174</v>
      </c>
      <c r="C9" s="5" t="s">
        <v>105</v>
      </c>
      <c r="D9" s="5" t="s">
        <v>115</v>
      </c>
    </row>
    <row r="10" customFormat="false" ht="15" hidden="false" customHeight="false" outlineLevel="0" collapsed="false">
      <c r="A10" s="5" t="s">
        <v>116</v>
      </c>
      <c r="B10" s="8" t="n">
        <f aca="false">B6+B9</f>
        <v>1535.15</v>
      </c>
      <c r="C10" s="5" t="s">
        <v>105</v>
      </c>
      <c r="D10" s="5" t="s">
        <v>117</v>
      </c>
    </row>
    <row r="11" customFormat="false" ht="15" hidden="false" customHeight="false" outlineLevel="0" collapsed="false">
      <c r="A11" s="5" t="s">
        <v>116</v>
      </c>
      <c r="B11" s="15" t="n">
        <f aca="false">B10/1000</f>
        <v>1.53515</v>
      </c>
      <c r="C11" s="5" t="s">
        <v>118</v>
      </c>
      <c r="D11" s="5"/>
    </row>
    <row r="14" customFormat="false" ht="15" hidden="false" customHeight="false" outlineLevel="0" collapsed="false">
      <c r="A14" s="3" t="s">
        <v>119</v>
      </c>
      <c r="B14" s="3" t="s">
        <v>101</v>
      </c>
      <c r="C14" s="3" t="s">
        <v>102</v>
      </c>
      <c r="D14" s="3" t="s">
        <v>103</v>
      </c>
    </row>
    <row r="15" customFormat="false" ht="15" hidden="false" customHeight="false" outlineLevel="0" collapsed="false">
      <c r="A15" s="5" t="s">
        <v>120</v>
      </c>
      <c r="B15" s="16" t="n">
        <v>0.45</v>
      </c>
      <c r="C15" s="5" t="s">
        <v>121</v>
      </c>
      <c r="D15" s="5" t="s">
        <v>122</v>
      </c>
    </row>
    <row r="16" customFormat="false" ht="15" hidden="false" customHeight="false" outlineLevel="0" collapsed="false">
      <c r="A16" s="5" t="s">
        <v>123</v>
      </c>
      <c r="B16" s="16" t="n">
        <v>8.07</v>
      </c>
      <c r="C16" s="5" t="s">
        <v>121</v>
      </c>
      <c r="D16" s="5" t="s">
        <v>124</v>
      </c>
    </row>
    <row r="17" customFormat="false" ht="15" hidden="false" customHeight="false" outlineLevel="0" collapsed="false">
      <c r="A17" s="5" t="s">
        <v>125</v>
      </c>
      <c r="B17" s="16" t="n">
        <v>0</v>
      </c>
      <c r="C17" s="5" t="s">
        <v>121</v>
      </c>
      <c r="D17" s="5" t="s">
        <v>126</v>
      </c>
    </row>
    <row r="20" customFormat="false" ht="15" hidden="false" customHeight="false" outlineLevel="0" collapsed="false">
      <c r="A20" s="3" t="s">
        <v>127</v>
      </c>
      <c r="B20" s="3" t="s">
        <v>128</v>
      </c>
      <c r="C20" s="3" t="s">
        <v>129</v>
      </c>
      <c r="D20" s="3" t="s">
        <v>130</v>
      </c>
    </row>
    <row r="21" customFormat="false" ht="15" hidden="false" customHeight="false" outlineLevel="0" collapsed="false">
      <c r="A21" s="5" t="s">
        <v>131</v>
      </c>
      <c r="B21" s="17" t="n">
        <v>10207396.39</v>
      </c>
      <c r="C21" s="18" t="n">
        <f aca="false">B21/1000000000</f>
        <v>0.01020739639</v>
      </c>
      <c r="D21" s="5" t="s">
        <v>132</v>
      </c>
    </row>
    <row r="22" customFormat="false" ht="15" hidden="false" customHeight="false" outlineLevel="0" collapsed="false">
      <c r="A22" s="5" t="s">
        <v>133</v>
      </c>
      <c r="B22" s="17" t="n">
        <v>10833873.29</v>
      </c>
      <c r="C22" s="18" t="n">
        <f aca="false">B22/1000000000</f>
        <v>0.01083387329</v>
      </c>
      <c r="D22" s="5" t="s">
        <v>134</v>
      </c>
    </row>
    <row r="23" customFormat="false" ht="15" hidden="false" customHeight="false" outlineLevel="0" collapsed="false">
      <c r="A23" s="5" t="s">
        <v>135</v>
      </c>
      <c r="B23" s="17" t="n">
        <v>18846280.86</v>
      </c>
      <c r="C23" s="18" t="n">
        <f aca="false">B23/1000000000</f>
        <v>0.01884628086</v>
      </c>
      <c r="D23" s="5" t="s">
        <v>136</v>
      </c>
    </row>
    <row r="25" customFormat="false" ht="45" hidden="false" customHeight="true" outlineLevel="0" collapsed="false">
      <c r="A25" s="19" t="s">
        <v>137</v>
      </c>
      <c r="B25" s="19"/>
      <c r="C25" s="19"/>
      <c r="D25" s="19"/>
    </row>
  </sheetData>
  <mergeCells count="1">
    <mergeCell ref="A25:D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80"/>
  </cols>
  <sheetData>
    <row r="1" customFormat="false" ht="17.35" hidden="false" customHeight="false" outlineLevel="0" collapsed="false">
      <c r="A1" s="1" t="s">
        <v>138</v>
      </c>
    </row>
    <row r="2" customFormat="false" ht="15" hidden="false" customHeight="false" outlineLevel="0" collapsed="false">
      <c r="A2" s="2" t="s">
        <v>139</v>
      </c>
    </row>
    <row r="4" customFormat="false" ht="15" hidden="false" customHeight="false" outlineLevel="0" collapsed="false">
      <c r="A4" s="20" t="s">
        <v>140</v>
      </c>
      <c r="B4" s="20" t="s">
        <v>141</v>
      </c>
      <c r="C4" s="20" t="s">
        <v>142</v>
      </c>
    </row>
    <row r="5" customFormat="false" ht="15" hidden="false" customHeight="false" outlineLevel="0" collapsed="false">
      <c r="A5" s="2" t="s">
        <v>143</v>
      </c>
      <c r="B5" s="21" t="n">
        <v>0.0016</v>
      </c>
      <c r="C5" s="2" t="s">
        <v>144</v>
      </c>
    </row>
    <row r="6" customFormat="false" ht="15" hidden="false" customHeight="false" outlineLevel="0" collapsed="false">
      <c r="A6" s="2" t="s">
        <v>145</v>
      </c>
      <c r="B6" s="21" t="n">
        <v>0.00102</v>
      </c>
      <c r="C6" s="2" t="s">
        <v>146</v>
      </c>
    </row>
    <row r="8" customFormat="false" ht="15" hidden="false" customHeight="false" outlineLevel="0" collapsed="false">
      <c r="A8" s="3" t="s">
        <v>4</v>
      </c>
      <c r="B8" s="3" t="s">
        <v>140</v>
      </c>
      <c r="C8" s="3" t="s">
        <v>147</v>
      </c>
      <c r="D8" s="3" t="s">
        <v>148</v>
      </c>
      <c r="E8" s="3" t="s">
        <v>149</v>
      </c>
    </row>
    <row r="9" customFormat="false" ht="15" hidden="false" customHeight="false" outlineLevel="0" collapsed="false">
      <c r="A9" s="5" t="s">
        <v>150</v>
      </c>
      <c r="B9" s="5" t="s">
        <v>143</v>
      </c>
      <c r="C9" s="22" t="n">
        <f aca="false">(110*110-(4-PI())*10^2-20*PI()*1.6^2)*3</f>
        <v>35559.9291644855</v>
      </c>
      <c r="D9" s="8" t="n">
        <f aca="false">C9*IF(B9="ABS",$B$6,$B$5)</f>
        <v>56.8958866631769</v>
      </c>
      <c r="E9" s="5" t="s">
        <v>151</v>
      </c>
    </row>
    <row r="10" customFormat="false" ht="15" hidden="false" customHeight="false" outlineLevel="0" collapsed="false">
      <c r="A10" s="5" t="s">
        <v>152</v>
      </c>
      <c r="B10" s="5" t="s">
        <v>143</v>
      </c>
      <c r="C10" s="22" t="n">
        <f aca="false">(110*110-(4-PI())*10^2-16*PI()*1.6^2-PI()*10^2)*3</f>
        <v>34713.9610947269</v>
      </c>
      <c r="D10" s="8" t="n">
        <f aca="false">C10*IF(B10="ABS",$B$6,$B$5)</f>
        <v>55.542337751563</v>
      </c>
      <c r="E10" s="5" t="s">
        <v>153</v>
      </c>
    </row>
    <row r="11" customFormat="false" ht="15" hidden="false" customHeight="false" outlineLevel="0" collapsed="false">
      <c r="A11" s="5" t="s">
        <v>154</v>
      </c>
      <c r="B11" s="5" t="s">
        <v>143</v>
      </c>
      <c r="C11" s="22" t="n">
        <f aca="false">(110*110-(4-PI())*10^2-16*PI()*1.6^2-PI()*10^2)*3</f>
        <v>34713.9610947269</v>
      </c>
      <c r="D11" s="8" t="n">
        <f aca="false">C11*IF(B11="ABS",$B$6,$B$5)</f>
        <v>55.542337751563</v>
      </c>
      <c r="E11" s="5" t="s">
        <v>155</v>
      </c>
    </row>
    <row r="12" customFormat="false" ht="15" hidden="false" customHeight="false" outlineLevel="0" collapsed="false">
      <c r="A12" s="5" t="s">
        <v>156</v>
      </c>
      <c r="B12" s="5" t="s">
        <v>143</v>
      </c>
      <c r="C12" s="22" t="n">
        <f aca="false">(170*30+PI()*15^2-PI()*5^2-4*PI()*1.5^2-2*PI()*1.6^2-PI()*2.1^2)*4</f>
        <v>22680.4192753878</v>
      </c>
      <c r="D12" s="8" t="n">
        <f aca="false">C12*IF(B12="ABS",$B$6,$B$5)</f>
        <v>36.2886708406204</v>
      </c>
      <c r="E12" s="5" t="s">
        <v>157</v>
      </c>
    </row>
    <row r="13" customFormat="false" ht="15" hidden="false" customHeight="false" outlineLevel="0" collapsed="false">
      <c r="A13" s="5" t="s">
        <v>158</v>
      </c>
      <c r="B13" s="5" t="s">
        <v>145</v>
      </c>
      <c r="C13" s="22" t="n">
        <f aca="false">PI()*(3.5^2-1.6^2)*30</f>
        <v>913.260984398553</v>
      </c>
      <c r="D13" s="8" t="n">
        <f aca="false">C13*IF(B13="ABS",$B$6,$B$5)</f>
        <v>0.931526204086524</v>
      </c>
      <c r="E13" s="5" t="s">
        <v>159</v>
      </c>
    </row>
    <row r="14" customFormat="false" ht="15" hidden="false" customHeight="false" outlineLevel="0" collapsed="false">
      <c r="A14" s="5" t="s">
        <v>160</v>
      </c>
      <c r="B14" s="5" t="s">
        <v>145</v>
      </c>
      <c r="C14" s="22" t="n">
        <f aca="false">PI()*(3.5^2-1.6^2)*32</f>
        <v>974.145050025123</v>
      </c>
      <c r="D14" s="8" t="n">
        <f aca="false">C14*IF(B14="ABS",$B$6,$B$5)</f>
        <v>0.993627951025626</v>
      </c>
      <c r="E14" s="5" t="s">
        <v>161</v>
      </c>
    </row>
    <row r="15" customFormat="false" ht="15" hidden="false" customHeight="false" outlineLevel="0" collapsed="false">
      <c r="A15" s="5" t="s">
        <v>162</v>
      </c>
      <c r="B15" s="5" t="s">
        <v>143</v>
      </c>
      <c r="C15" s="22" t="n">
        <f aca="false">(150*90-4*PI()*1.6^2)*3</f>
        <v>40403.4902736817</v>
      </c>
      <c r="D15" s="8" t="n">
        <f aca="false">C15*IF(B15="ABS",$B$6,$B$5)</f>
        <v>64.6455844378908</v>
      </c>
      <c r="E15" s="5" t="s">
        <v>163</v>
      </c>
    </row>
    <row r="16" customFormat="false" ht="15" hidden="false" customHeight="false" outlineLevel="0" collapsed="false">
      <c r="A16" s="5" t="s">
        <v>164</v>
      </c>
      <c r="B16" s="5" t="s">
        <v>143</v>
      </c>
      <c r="C16" s="22" t="n">
        <f aca="false">PI()*(5^2-2.1^2)*90</f>
        <v>5821.68534636725</v>
      </c>
      <c r="D16" s="8" t="n">
        <f aca="false">C16*IF(B16="ABS",$B$6,$B$5)</f>
        <v>9.31469655418759</v>
      </c>
      <c r="E16" s="5" t="s">
        <v>165</v>
      </c>
    </row>
    <row r="17" customFormat="false" ht="15" hidden="false" customHeight="false" outlineLevel="0" collapsed="false">
      <c r="A17" s="5" t="s">
        <v>166</v>
      </c>
      <c r="B17" s="5" t="s">
        <v>145</v>
      </c>
      <c r="C17" s="22" t="n">
        <f aca="false">(PI()*7^2+9*30-PI()*7^2/2-PI()*3.6^2)*25</f>
        <v>7656.34948056066</v>
      </c>
      <c r="D17" s="8" t="n">
        <f aca="false">C17*IF(B17="ABS",$B$6,$B$5)</f>
        <v>7.80947647017187</v>
      </c>
      <c r="E17" s="5" t="s">
        <v>167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6"/>
    <col collapsed="false" customWidth="true" hidden="false" outlineLevel="0" max="3" min="3" style="0" width="52"/>
    <col collapsed="false" customWidth="true" hidden="false" outlineLevel="0" max="4" min="4" style="0" width="6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60"/>
  </cols>
  <sheetData>
    <row r="1" customFormat="false" ht="17.35" hidden="false" customHeight="false" outlineLevel="0" collapsed="false">
      <c r="A1" s="1" t="s">
        <v>168</v>
      </c>
    </row>
    <row r="2" customFormat="false" ht="15" hidden="false" customHeight="false" outlineLevel="0" collapsed="false">
      <c r="A2" s="2" t="s">
        <v>169</v>
      </c>
    </row>
    <row r="4" customFormat="false" ht="15" hidden="false" customHeight="false" outlineLevel="0" collapsed="false">
      <c r="A4" s="3" t="s">
        <v>2</v>
      </c>
      <c r="B4" s="3" t="s">
        <v>170</v>
      </c>
      <c r="C4" s="3" t="s">
        <v>171</v>
      </c>
      <c r="D4" s="3" t="s">
        <v>6</v>
      </c>
      <c r="E4" s="3" t="s">
        <v>172</v>
      </c>
      <c r="F4" s="3" t="s">
        <v>173</v>
      </c>
      <c r="G4" s="3" t="s">
        <v>12</v>
      </c>
    </row>
    <row r="5" customFormat="false" ht="23.85" hidden="false" customHeight="false" outlineLevel="0" collapsed="false">
      <c r="A5" s="4" t="n">
        <v>1</v>
      </c>
      <c r="B5" s="5" t="s">
        <v>174</v>
      </c>
      <c r="C5" s="5" t="s">
        <v>175</v>
      </c>
      <c r="D5" s="6" t="n">
        <v>1</v>
      </c>
      <c r="E5" s="6" t="n">
        <v>20</v>
      </c>
      <c r="F5" s="8" t="n">
        <f aca="false">D5*E5</f>
        <v>20</v>
      </c>
      <c r="G5" s="5" t="s">
        <v>176</v>
      </c>
    </row>
    <row r="6" customFormat="false" ht="15" hidden="false" customHeight="false" outlineLevel="0" collapsed="false">
      <c r="A6" s="4" t="n">
        <v>2</v>
      </c>
      <c r="B6" s="5" t="s">
        <v>177</v>
      </c>
      <c r="C6" s="5" t="s">
        <v>178</v>
      </c>
      <c r="D6" s="6" t="n">
        <v>1</v>
      </c>
      <c r="E6" s="6" t="n">
        <v>30</v>
      </c>
      <c r="F6" s="8" t="n">
        <f aca="false">D6*E6</f>
        <v>30</v>
      </c>
      <c r="G6" s="5" t="s">
        <v>179</v>
      </c>
    </row>
    <row r="7" customFormat="false" ht="23.85" hidden="false" customHeight="false" outlineLevel="0" collapsed="false">
      <c r="A7" s="4" t="n">
        <v>3</v>
      </c>
      <c r="B7" s="5" t="s">
        <v>180</v>
      </c>
      <c r="C7" s="5" t="s">
        <v>181</v>
      </c>
      <c r="D7" s="6" t="n">
        <v>1</v>
      </c>
      <c r="E7" s="6" t="n">
        <v>8</v>
      </c>
      <c r="F7" s="8" t="n">
        <f aca="false">D7*E7</f>
        <v>8</v>
      </c>
      <c r="G7" s="5" t="s">
        <v>182</v>
      </c>
    </row>
    <row r="8" customFormat="false" ht="23.85" hidden="false" customHeight="false" outlineLevel="0" collapsed="false">
      <c r="A8" s="4" t="n">
        <v>4</v>
      </c>
      <c r="B8" s="5" t="s">
        <v>183</v>
      </c>
      <c r="C8" s="5" t="s">
        <v>184</v>
      </c>
      <c r="D8" s="6" t="n">
        <v>1</v>
      </c>
      <c r="E8" s="6" t="n">
        <v>25</v>
      </c>
      <c r="F8" s="8" t="n">
        <f aca="false">D8*E8</f>
        <v>25</v>
      </c>
      <c r="G8" s="5" t="s">
        <v>185</v>
      </c>
    </row>
    <row r="9" customFormat="false" ht="15" hidden="false" customHeight="false" outlineLevel="0" collapsed="false">
      <c r="A9" s="4" t="n">
        <v>5</v>
      </c>
      <c r="B9" s="5" t="s">
        <v>186</v>
      </c>
      <c r="C9" s="5" t="s">
        <v>187</v>
      </c>
      <c r="D9" s="6" t="n">
        <v>1</v>
      </c>
      <c r="E9" s="6" t="n">
        <v>10</v>
      </c>
      <c r="F9" s="8" t="n">
        <f aca="false">D9*E9</f>
        <v>10</v>
      </c>
      <c r="G9" s="5" t="s">
        <v>188</v>
      </c>
    </row>
    <row r="10" customFormat="false" ht="15" hidden="false" customHeight="false" outlineLevel="0" collapsed="false">
      <c r="A10" s="4" t="n">
        <v>6</v>
      </c>
      <c r="B10" s="5" t="s">
        <v>189</v>
      </c>
      <c r="C10" s="5" t="s">
        <v>190</v>
      </c>
      <c r="D10" s="6" t="n">
        <v>1</v>
      </c>
      <c r="E10" s="6" t="n">
        <v>1</v>
      </c>
      <c r="F10" s="8" t="n">
        <f aca="false">D10*E10</f>
        <v>1</v>
      </c>
      <c r="G10" s="5" t="s">
        <v>191</v>
      </c>
    </row>
    <row r="11" customFormat="false" ht="15" hidden="false" customHeight="false" outlineLevel="0" collapsed="false">
      <c r="A11" s="4" t="n">
        <v>7</v>
      </c>
      <c r="B11" s="5" t="s">
        <v>192</v>
      </c>
      <c r="C11" s="5" t="s">
        <v>193</v>
      </c>
      <c r="D11" s="6" t="n">
        <v>1</v>
      </c>
      <c r="E11" s="6" t="n">
        <v>30</v>
      </c>
      <c r="F11" s="8" t="n">
        <f aca="false">D11*E11</f>
        <v>30</v>
      </c>
      <c r="G11" s="5" t="s">
        <v>194</v>
      </c>
    </row>
    <row r="12" customFormat="false" ht="15" hidden="false" customHeight="false" outlineLevel="0" collapsed="false">
      <c r="A12" s="4" t="n">
        <v>8</v>
      </c>
      <c r="B12" s="5" t="s">
        <v>195</v>
      </c>
      <c r="C12" s="5" t="s">
        <v>196</v>
      </c>
      <c r="D12" s="6" t="n">
        <v>1</v>
      </c>
      <c r="E12" s="6" t="n">
        <v>40</v>
      </c>
      <c r="F12" s="8" t="n">
        <f aca="false">D12*E12</f>
        <v>40</v>
      </c>
      <c r="G12" s="5" t="s">
        <v>197</v>
      </c>
    </row>
    <row r="13" customFormat="false" ht="15" hidden="false" customHeight="false" outlineLevel="0" collapsed="false">
      <c r="A13" s="4" t="n">
        <v>9</v>
      </c>
      <c r="B13" s="5" t="s">
        <v>198</v>
      </c>
      <c r="C13" s="5" t="s">
        <v>199</v>
      </c>
      <c r="D13" s="6" t="n">
        <v>1</v>
      </c>
      <c r="E13" s="6" t="n">
        <v>10</v>
      </c>
      <c r="F13" s="8" t="n">
        <f aca="false">D13*E13</f>
        <v>10</v>
      </c>
      <c r="G13" s="5"/>
    </row>
    <row r="14" customFormat="false" ht="15" hidden="false" customHeight="false" outlineLevel="0" collapsed="false">
      <c r="A14" s="23"/>
      <c r="B14" s="12" t="s">
        <v>200</v>
      </c>
      <c r="C14" s="23"/>
      <c r="D14" s="23"/>
      <c r="E14" s="23"/>
      <c r="F14" s="13" t="n">
        <f aca="false">SUM(F5:F13)</f>
        <v>174</v>
      </c>
      <c r="G14" s="2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2026-10-26T14:53:20Z</dcterms:created>
  <dc:creator>openpyxl</dc:creator>
  <dc:description/>
  <dc:language>en-US</dc:language>
  <cp:lastModifiedBy/>
  <dcterms:modified xsi:type="dcterms:W3CDTF">2026-10-26T14:53:20Z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